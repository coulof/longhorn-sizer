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isk Sizing" sheetId="2" state="visible" r:id="rId2"/>
    <sheet xmlns:r="http://schemas.openxmlformats.org/officeDocument/2006/relationships" name="CPU Sizing" sheetId="3" state="visible" r:id="rId3"/>
    <sheet xmlns:r="http://schemas.openxmlformats.org/officeDocument/2006/relationships" name="Memory Sizin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Warnings" sheetId="6" state="visible" r:id="rId6"/>
    <sheet xmlns:r="http://schemas.openxmlformats.org/officeDocument/2006/relationships" name="Net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i val="1"/>
      <color rgb="00666666"/>
      <sz val="10"/>
    </font>
    <font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3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3" fillId="0" borderId="0" pivotButton="0" quotePrefix="0" xfId="0"/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</cols>
  <sheetData>
    <row r="1">
      <c r="A1" s="1" t="inlineStr">
        <is>
          <t>Longhorn v1.12.0 Sizing — Inputs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Number of storage nodes (N)</t>
        </is>
      </c>
      <c r="B3" s="4" t="n">
        <v>3</v>
      </c>
      <c r="C3" s="5" t="inlineStr">
        <is>
          <t>Nodes running Longhorn replicas</t>
        </is>
      </c>
    </row>
    <row r="4">
      <c r="A4" s="3" t="inlineStr">
        <is>
          <t>Total volumes (V)</t>
        </is>
      </c>
      <c r="B4" s="4" t="n">
        <v>20</v>
      </c>
      <c r="C4" s="5" t="inlineStr">
        <is>
          <t>Cluster-wide Longhorn PVCs</t>
        </is>
      </c>
    </row>
    <row r="5">
      <c r="A5" s="3" t="inlineStr">
        <is>
          <t>Replica factor (R)</t>
        </is>
      </c>
      <c r="B5" s="4" t="n">
        <v>3</v>
      </c>
      <c r="C5" s="5" t="inlineStr">
        <is>
          <t>2 or 3 (StorageClass replicaCount)</t>
        </is>
      </c>
    </row>
    <row r="6">
      <c r="A6" s="3" t="inlineStr">
        <is>
          <t>Required usable storage (GiB)</t>
        </is>
      </c>
      <c r="B6" s="6" t="n">
        <v>1000</v>
      </c>
      <c r="C6" s="5" t="inlineStr">
        <is>
          <t>Net usable capacity after replication</t>
        </is>
      </c>
    </row>
    <row r="7">
      <c r="A7" s="3" t="inlineStr">
        <is>
          <t>Avg volume size (GiB)</t>
        </is>
      </c>
      <c r="B7" s="7">
        <f>B6/B4</f>
        <v/>
      </c>
      <c r="C7" s="5" t="inlineStr">
        <is>
          <t>U_GiB / V  (computed)</t>
        </is>
      </c>
    </row>
    <row r="8">
      <c r="A8" s="3" t="inlineStr">
        <is>
          <t>Data engine</t>
        </is>
      </c>
      <c r="B8" s="4" t="inlineStr">
        <is>
          <t>V1</t>
        </is>
      </c>
      <c r="C8" s="5" t="inlineStr">
        <is>
          <t>V1 (iSCSI) or V2 (SPDK/NVMe)</t>
        </is>
      </c>
    </row>
    <row r="9">
      <c r="A9" s="3" t="inlineStr">
        <is>
          <t>Disk type</t>
        </is>
      </c>
      <c r="B9" s="4" t="inlineStr">
        <is>
          <t>dedicated</t>
        </is>
      </c>
      <c r="C9" s="5" t="inlineStr">
        <is>
          <t>root or dedicated</t>
        </is>
      </c>
    </row>
    <row r="10">
      <c r="A10" s="3" t="inlineStr">
        <is>
          <t>Host reserve %</t>
        </is>
      </c>
      <c r="B10" s="8">
        <f>IF(B9="dedicated",10,25)</f>
        <v/>
      </c>
      <c r="C10" s="5" t="inlineStr">
        <is>
          <t>Auto: 25% root, 10% dedicated</t>
        </is>
      </c>
    </row>
    <row r="11">
      <c r="A11" s="3" t="inlineStr">
        <is>
          <t>Over-provisioning %</t>
        </is>
      </c>
      <c r="B11" s="9" t="n">
        <v>100</v>
      </c>
      <c r="C11" s="5" t="inlineStr">
        <is>
          <t>Settings default = 100; raise to 200 for thin workloads</t>
        </is>
      </c>
    </row>
    <row r="12">
      <c r="A12" s="3" t="inlineStr">
        <is>
          <t>Snapshot margin %</t>
        </is>
      </c>
      <c r="B12" s="9" t="n">
        <v>20</v>
      </c>
      <c r="C12" s="5" t="inlineStr">
        <is>
          <t>COW slack (10-30% recommended)</t>
        </is>
      </c>
    </row>
    <row r="13">
      <c r="A13" s="3" t="inlineStr">
        <is>
          <t>Node allocatable CPU cores</t>
        </is>
      </c>
      <c r="B13" s="9" t="n">
        <v>8</v>
      </c>
      <c r="C13" s="5" t="inlineStr">
        <is>
          <t>Per-node allocatable cores</t>
        </is>
      </c>
    </row>
    <row r="14">
      <c r="A14" s="3" t="inlineStr">
        <is>
          <t>Node RAM (GiB)</t>
        </is>
      </c>
      <c r="B14" s="6" t="n">
        <v>32</v>
      </c>
      <c r="C14" s="5" t="inlineStr">
        <is>
          <t>Per-node total memory</t>
        </is>
      </c>
    </row>
    <row r="15">
      <c r="A15" s="3" t="inlineStr">
        <is>
          <t>Replicas per node (computed)</t>
        </is>
      </c>
      <c r="B15" s="8">
        <f>CEILING(B4*B5/B3,1)</f>
        <v/>
      </c>
      <c r="C15" s="5" t="inlineStr">
        <is>
          <t>CEILING(V*R/N, 1)</t>
        </is>
      </c>
    </row>
    <row r="17">
      <c r="A17" s="10" t="inlineStr">
        <is>
          <t>Yellow cells = user inputs</t>
        </is>
      </c>
    </row>
    <row r="18">
      <c r="A18" s="10" t="inlineStr">
        <is>
          <t>All other cells are computed from formulas</t>
        </is>
      </c>
    </row>
  </sheetData>
  <mergeCells count="1">
    <mergeCell ref="A1:C1"/>
  </mergeCells>
  <dataValidations count="2">
    <dataValidation sqref="B8" showDropDown="0" showInputMessage="0" showErrorMessage="0" allowBlank="0" error="Choose V1 or V2" type="list">
      <formula1>"V1,V2"</formula1>
    </dataValidation>
    <dataValidation sqref="B9" showDropDown="0" showInputMessage="0" showErrorMessage="0" allowBlank="0" error="Choose root or dedicated" type="list">
      <formula1>"root,dedicated"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0" customWidth="1" min="3" max="3"/>
  </cols>
  <sheetData>
    <row r="1">
      <c r="A1" s="1" t="inlineStr">
        <is>
          <t>Disk Sizing</t>
        </is>
      </c>
    </row>
    <row r="2">
      <c r="A2" s="2" t="inlineStr">
        <is>
          <t>Step</t>
        </is>
      </c>
      <c r="B2" s="2" t="inlineStr">
        <is>
          <t>Value (GiB)</t>
        </is>
      </c>
      <c r="C2" s="2" t="inlineStr">
        <is>
          <t>Formula / Notes</t>
        </is>
      </c>
    </row>
    <row r="3">
      <c r="A3" s="3" t="inlineStr">
        <is>
          <t>1. Raw capacity per node</t>
        </is>
      </c>
      <c r="B3" s="7">
        <f>(Inputs!B6*(1+Inputs!B12/100)*Inputs!B5)/Inputs!B3</f>
        <v/>
      </c>
      <c r="C3" s="5" t="inlineStr">
        <is>
          <t>(U_GiB * (1 + SNAP%/100) * R) / N</t>
        </is>
      </c>
    </row>
    <row r="4">
      <c r="A4" s="3" t="inlineStr">
        <is>
          <t>2. After host reserve</t>
        </is>
      </c>
      <c r="B4" s="7">
        <f>B3/(1-Inputs!B10/100)</f>
        <v/>
      </c>
      <c r="C4" s="5" t="inlineStr">
        <is>
          <t>raw_per_node / (1 - HOST_RESERVE%/100)</t>
        </is>
      </c>
    </row>
    <row r="5">
      <c r="A5" s="3" t="inlineStr">
        <is>
          <t>3. Physical disk per node</t>
        </is>
      </c>
      <c r="B5" s="7">
        <f>B4/(Inputs!B11/100)</f>
        <v/>
      </c>
      <c r="C5" s="5" t="inlineStr">
        <is>
          <t>schedulable / (OVERPROV% / 100)</t>
        </is>
      </c>
    </row>
    <row r="7">
      <c r="A7" s="3" t="inlineStr">
        <is>
          <t>Cluster total disk (GiB)</t>
        </is>
      </c>
      <c r="B7" s="7">
        <f>B5*Inputs!B3</f>
        <v/>
      </c>
      <c r="C7" s="5" t="inlineStr">
        <is>
          <t>physical_disk_per_node * 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55" customWidth="1" min="4" max="4"/>
  </cols>
  <sheetData>
    <row r="1">
      <c r="A1" s="1" t="inlineStr">
        <is>
          <t>CPU Sizing (millicores per node)</t>
        </is>
      </c>
    </row>
    <row r="3">
      <c r="A3" s="11" t="inlineStr">
        <is>
          <t>V1 Data Engine</t>
        </is>
      </c>
    </row>
    <row r="4">
      <c r="A4" s="2" t="inlineStr">
        <is>
          <t>Component</t>
        </is>
      </c>
      <c r="B4" s="2" t="inlineStr">
        <is>
          <t>CPU (m)</t>
        </is>
      </c>
      <c r="C4" s="2" t="inlineStr">
        <is>
          <t>Status</t>
        </is>
      </c>
      <c r="D4" s="2" t="inlineStr">
        <is>
          <t>Notes</t>
        </is>
      </c>
    </row>
    <row r="5">
      <c r="A5" s="3" t="inlineStr">
        <is>
          <t>longhorn-manager (request)</t>
        </is>
      </c>
      <c r="B5" s="8" t="n">
        <v>250</v>
      </c>
      <c r="D5" s="5" t="inlineStr">
        <is>
          <t>Recommended production value — https://longhorn.io/docs/1.12.0/best-practices/</t>
        </is>
      </c>
    </row>
    <row r="6">
      <c r="A6" s="3" t="inlineStr">
        <is>
          <t>engine-image DaemonSet</t>
        </is>
      </c>
      <c r="B6" s="8" t="n">
        <v>3</v>
      </c>
      <c r="D6" s="5" t="inlineStr">
        <is>
          <t>Observed via kubectl top</t>
        </is>
      </c>
    </row>
    <row r="7">
      <c r="A7" s="3" t="inlineStr">
        <is>
          <t>Instance Manager CPU %</t>
        </is>
      </c>
      <c r="B7" s="8">
        <f>CEILING((Inputs!B15*0.1)/Inputs!B13*100,1)</f>
        <v/>
      </c>
      <c r="D7" s="5" t="inlineStr">
        <is>
          <t>CEILING((replicas_per_node * 0.1) / cores * 100, 1)</t>
        </is>
      </c>
    </row>
    <row r="8">
      <c r="A8" s="3" t="inlineStr">
        <is>
          <t>Instance Manager CPU (m)</t>
        </is>
      </c>
      <c r="B8" s="8">
        <f>B7/100*Inputs!B13*1000</f>
        <v/>
      </c>
      <c r="D8" s="5" t="inlineStr">
        <is>
          <t>cpu_im_pct/100 * cores * 1000</t>
        </is>
      </c>
    </row>
    <row r="9">
      <c r="A9" s="3" t="inlineStr">
        <is>
          <t>TOTAL V1 CPU per node (m)</t>
        </is>
      </c>
      <c r="B9" s="12">
        <f>B5+B6+B8</f>
        <v/>
      </c>
    </row>
    <row r="10">
      <c r="A10" s="3" t="inlineStr">
        <is>
          <t>25% node CPU budget (m)</t>
        </is>
      </c>
      <c r="B10" s="8">
        <f>Inputs!B13*1000*0.25</f>
        <v/>
      </c>
      <c r="D10" s="5" t="inlineStr">
        <is>
          <t>Advisory guideline — https://longhorn.io/blog/longhorn-v1.1.0/</t>
        </is>
      </c>
    </row>
    <row r="11">
      <c r="A11" s="3" t="inlineStr">
        <is>
          <t>V1 budget status</t>
        </is>
      </c>
      <c r="C11" s="13">
        <f>IF(B9&gt;B10,"EXCEEDS 25% BUDGET","OK")</f>
        <v/>
      </c>
    </row>
    <row r="13">
      <c r="A13" s="11" t="inlineStr">
        <is>
          <t>V2 Data Engine (SPDK)</t>
        </is>
      </c>
    </row>
    <row r="14">
      <c r="A14" s="2" t="inlineStr">
        <is>
          <t>Component</t>
        </is>
      </c>
      <c r="B14" s="2" t="inlineStr">
        <is>
          <t>CPU (m)</t>
        </is>
      </c>
      <c r="C14" s="2" t="inlineStr">
        <is>
          <t>Status</t>
        </is>
      </c>
      <c r="D14" s="2" t="inlineStr">
        <is>
          <t>Notes</t>
        </is>
      </c>
    </row>
    <row r="15">
      <c r="A15" s="3" t="inlineStr">
        <is>
          <t>Guaranteed IM CPU V2 (spdk_tgt)</t>
        </is>
      </c>
      <c r="B15" s="8" t="n">
        <v>1250</v>
      </c>
      <c r="D15" s="5" t="inlineStr">
        <is>
          <t>Best-practices recommendation; spdk_tgt pins 1 core</t>
        </is>
      </c>
    </row>
    <row r="16">
      <c r="A16" s="3" t="inlineStr">
        <is>
          <t>longhorn-manager (request)</t>
        </is>
      </c>
      <c r="B16" s="8" t="n">
        <v>250</v>
      </c>
    </row>
    <row r="17">
      <c r="A17" s="3" t="inlineStr">
        <is>
          <t>engine-image DaemonSet</t>
        </is>
      </c>
      <c r="B17" s="8" t="n">
        <v>3</v>
      </c>
    </row>
    <row r="18">
      <c r="A18" s="3" t="inlineStr">
        <is>
          <t>TOTAL V2 CPU per node (m)</t>
        </is>
      </c>
      <c r="B18" s="12">
        <f>B15+B16+B17</f>
        <v/>
      </c>
    </row>
    <row r="20">
      <c r="A20" s="3" t="inlineStr">
        <is>
          <t>Active engine selection</t>
        </is>
      </c>
      <c r="B20" s="13">
        <f>Inputs!B8</f>
        <v/>
      </c>
    </row>
    <row r="21">
      <c r="A21" s="3" t="inlineStr">
        <is>
          <t>Active CPU total (m)</t>
        </is>
      </c>
      <c r="B21" s="8">
        <f>IF(Inputs!B8="V2",B18,B9)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5" customWidth="1" min="3" max="3"/>
  </cols>
  <sheetData>
    <row r="1">
      <c r="A1" s="1" t="inlineStr">
        <is>
          <t>Memory Sizing (GiB per node)</t>
        </is>
      </c>
    </row>
    <row r="3">
      <c r="A3" s="11" t="inlineStr">
        <is>
          <t>V1 Data Engine</t>
        </is>
      </c>
    </row>
    <row r="4">
      <c r="A4" s="2" t="inlineStr">
        <is>
          <t>Component</t>
        </is>
      </c>
      <c r="B4" s="2" t="inlineStr">
        <is>
          <t>GiB</t>
        </is>
      </c>
      <c r="C4" s="2" t="inlineStr">
        <is>
          <t>Notes</t>
        </is>
      </c>
    </row>
    <row r="5">
      <c r="A5" s="3" t="inlineStr">
        <is>
          <t>longhorn-manager (request)</t>
        </is>
      </c>
      <c r="B5" s="14" t="n">
        <v>0.25</v>
      </c>
    </row>
    <row r="6">
      <c r="A6" s="3" t="inlineStr">
        <is>
          <t>instance-manager idle baseline</t>
        </is>
      </c>
      <c r="B6" s="14" t="n">
        <v>0.02</v>
      </c>
      <c r="C6" s="5" t="inlineStr">
        <is>
          <t>Observed ~15-20 MiB</t>
        </is>
      </c>
    </row>
    <row r="7">
      <c r="A7" s="3" t="inlineStr">
        <is>
          <t>Rebuild buffer (~0.05 GiB/replica)</t>
        </is>
      </c>
      <c r="B7" s="14">
        <f>Inputs!B15*0.05</f>
        <v/>
      </c>
      <c r="C7" s="5" t="inlineStr">
        <is>
          <t>Safety margin, not a hard Longhorn constant</t>
        </is>
      </c>
    </row>
    <row r="8">
      <c r="A8" s="3" t="inlineStr">
        <is>
          <t>TOTAL V1 RAM per node (GiB)</t>
        </is>
      </c>
      <c r="B8" s="15">
        <f>B5+B6+B7</f>
        <v/>
      </c>
    </row>
    <row r="10">
      <c r="A10" s="11" t="inlineStr">
        <is>
          <t>V2 Data Engine (SPDK)</t>
        </is>
      </c>
    </row>
    <row r="11">
      <c r="A11" s="2" t="inlineStr">
        <is>
          <t>Component</t>
        </is>
      </c>
      <c r="B11" s="2" t="inlineStr">
        <is>
          <t>GiB</t>
        </is>
      </c>
      <c r="C11" s="2" t="inlineStr">
        <is>
          <t>Notes</t>
        </is>
      </c>
    </row>
    <row r="12">
      <c r="A12" s="3" t="inlineStr">
        <is>
          <t>longhorn-manager (request)</t>
        </is>
      </c>
      <c r="B12" s="14" t="n">
        <v>0.25</v>
      </c>
    </row>
    <row r="13">
      <c r="A13" s="3" t="inlineStr">
        <is>
          <t>instance-manager V2 (excl. hugepages)</t>
        </is>
      </c>
      <c r="B13" s="14" t="n">
        <v>0.13</v>
      </c>
      <c r="C13" s="5" t="inlineStr">
        <is>
          <t>Observed via kubectl top — https://documentation.suse.com/cloudnative/storage/1.10/en/longhorn-system/v2-data-engine/quick-start-guide.html</t>
        </is>
      </c>
    </row>
    <row r="14">
      <c r="A14" s="3" t="inlineStr">
        <is>
          <t>HugePages (mandatory)</t>
        </is>
      </c>
      <c r="B14" s="8" t="n">
        <v>2</v>
      </c>
      <c r="C14" s="5" t="inlineStr">
        <is>
          <t>1024 x 2 MiB pages = 2 GiB per node</t>
        </is>
      </c>
    </row>
    <row r="15">
      <c r="A15" s="3" t="inlineStr">
        <is>
          <t>TOTAL V2 RAM per node (GiB)</t>
        </is>
      </c>
      <c r="B15" s="15">
        <f>B12+B13+B14</f>
        <v/>
      </c>
    </row>
    <row r="17">
      <c r="A17" s="3" t="inlineStr">
        <is>
          <t>Active engine selection</t>
        </is>
      </c>
      <c r="B17" s="13">
        <f>Inputs!B8</f>
        <v/>
      </c>
    </row>
    <row r="18">
      <c r="A18" s="3" t="inlineStr">
        <is>
          <t>Active RAM total (GiB)</t>
        </is>
      </c>
      <c r="B18" s="14">
        <f>IF(Inputs!B8="V2",B15,B8)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Longhorn v1.12.0 — Sizing Summary</t>
        </is>
      </c>
    </row>
    <row r="2">
      <c r="A2" s="16" t="inlineStr">
        <is>
          <t>Engine selected:</t>
        </is>
      </c>
      <c r="B2" s="13">
        <f>Inputs!B8</f>
        <v/>
      </c>
    </row>
    <row r="4">
      <c r="A4" s="2" t="inlineStr">
        <is>
          <t>Resource</t>
        </is>
      </c>
      <c r="B4" s="2" t="inlineStr">
        <is>
          <t>Per Node</t>
        </is>
      </c>
      <c r="C4" s="2" t="inlineStr">
        <is>
          <t>Whole Cluster</t>
        </is>
      </c>
      <c r="D4" s="2" t="inlineStr">
        <is>
          <t>Notes</t>
        </is>
      </c>
    </row>
    <row r="5">
      <c r="A5" s="3" t="inlineStr">
        <is>
          <t>Disk (GiB)</t>
        </is>
      </c>
      <c r="B5" s="7">
        <f>'Disk Sizing'!B5</f>
        <v/>
      </c>
      <c r="C5" s="7">
        <f>B5*Inputs!B3</f>
        <v/>
      </c>
    </row>
    <row r="6">
      <c r="A6" s="3" t="inlineStr">
        <is>
          <t>CPU reserved (m)</t>
        </is>
      </c>
      <c r="B6" s="17">
        <f>IF(Inputs!B8="V2",'CPU Sizing'!B18,'CPU Sizing'!B9)</f>
        <v/>
      </c>
      <c r="C6" s="17">
        <f>B6*Inputs!B3</f>
        <v/>
      </c>
    </row>
    <row r="7">
      <c r="A7" s="3" t="inlineStr">
        <is>
          <t>RAM reserved (GiB)</t>
        </is>
      </c>
      <c r="B7" s="18">
        <f>IF(Inputs!B8="V2",'Memory Sizing'!B15,'Memory Sizing'!B8)</f>
        <v/>
      </c>
      <c r="C7" s="18">
        <f>B7*Inputs!B3</f>
        <v/>
      </c>
    </row>
    <row r="8">
      <c r="A8" s="3" t="inlineStr">
        <is>
          <t>HugePages (GiB)</t>
        </is>
      </c>
      <c r="B8" s="8">
        <f>IF(Inputs!B8="V2",2,0)</f>
        <v/>
      </c>
      <c r="C8" s="8">
        <f>B8*Inputs!B3</f>
        <v/>
      </c>
    </row>
    <row r="9">
      <c r="A9" s="3" t="inlineStr">
        <is>
          <t>V2 kernel requirement</t>
        </is>
      </c>
      <c r="B9" s="13">
        <f>IF(Inputs!B8="V2","5.19 min / 6.7+ recommended","N/A")</f>
        <v/>
      </c>
      <c r="C9" s="5" t="inlineStr"/>
    </row>
    <row r="10">
      <c r="A10" s="3" t="inlineStr">
        <is>
          <t>CPU as % of node</t>
        </is>
      </c>
      <c r="B10" s="19">
        <f>B6/(Inputs!B13*1000)*100</f>
        <v/>
      </c>
      <c r="C10" s="5" t="inlineStr">
        <is>
          <t>%</t>
        </is>
      </c>
    </row>
    <row r="11">
      <c r="A11" s="3" t="inlineStr">
        <is>
          <t>RAM as % of node</t>
        </is>
      </c>
      <c r="B11" s="19">
        <f>B7/Inputs!B14*100</f>
        <v/>
      </c>
      <c r="C11" s="5" t="inlineStr">
        <is>
          <t>%</t>
        </is>
      </c>
    </row>
    <row r="13">
      <c r="A13" s="10" t="inlineStr">
        <is>
          <t>Note: If dataLocality=best-effort is set, one replica is co-located with the workload pod, increasing CPU pressure on that node. The formulas above already account for worst-case REPLICAS_PER_NODE.</t>
        </is>
      </c>
    </row>
  </sheetData>
  <mergeCells count="2">
    <mergeCell ref="A1:D1"/>
    <mergeCell ref="A13:D13"/>
  </mergeCells>
  <conditionalFormatting sqref="B10">
    <cfRule type="cellIs" priority="1" operator="greaterThan" dxfId="0">
      <formula>25</formula>
    </cfRule>
    <cfRule type="cellIs" priority="2" operator="between" dxfId="1">
      <formula>20</formula>
      <formula>25</formula>
    </cfRule>
    <cfRule type="cellIs" priority="3" operator="lessThan" dxfId="2">
      <formula>20</formula>
    </cfRule>
  </conditionalFormatting>
  <conditionalFormatting sqref="B11">
    <cfRule type="cellIs" priority="4" operator="greaterThan" dxfId="0">
      <formula>25</formula>
    </cfRule>
    <cfRule type="cellIs" priority="5" operator="between" dxfId="1">
      <formula>20</formula>
      <formula>25</formula>
    </cfRule>
    <cfRule type="cellIs" priority="6" operator="lessThan" dxfId="2">
      <formula>20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5" customWidth="1" min="3" max="3"/>
  </cols>
  <sheetData>
    <row r="1">
      <c r="A1" s="1" t="inlineStr">
        <is>
          <t>Validation Warnings</t>
        </is>
      </c>
    </row>
    <row r="2">
      <c r="A2" s="2" t="inlineStr">
        <is>
          <t>Check</t>
        </is>
      </c>
      <c r="B2" s="2" t="inlineStr">
        <is>
          <t>Result</t>
        </is>
      </c>
      <c r="C2" s="2" t="inlineStr">
        <is>
          <t>Detail</t>
        </is>
      </c>
    </row>
    <row r="3">
      <c r="A3" s="3" t="inlineStr">
        <is>
          <t>V2: HugePages fit in node RAM?</t>
        </is>
      </c>
      <c r="B3" s="13">
        <f>IF(Inputs!B8="V2",IF(Inputs!B14&gt;=2,"OK","FAIL"),"N/A (V1)")</f>
        <v/>
      </c>
      <c r="C3" s="13">
        <f>IF(Inputs!B8="V2","Need 2 GiB hugepages; node has "&amp;Inputs!B14&amp;" GiB RAM","")</f>
        <v/>
      </c>
    </row>
    <row r="4">
      <c r="A4" s="3" t="inlineStr">
        <is>
          <t>Longhorn CPU &lt;= 25% of node?</t>
        </is>
      </c>
      <c r="B4" s="13">
        <f>IF(Summary!B10&gt;25,"WARN","OK")</f>
        <v/>
      </c>
      <c r="C4" s="13">
        <f>IF(Summary!B10&gt;25,"Longhorn uses "&amp;TEXT(Summary!B10,"0.0")&amp;"% of node CPU (advisory limit 25%)","")</f>
        <v/>
      </c>
    </row>
    <row r="5">
      <c r="A5" s="3" t="inlineStr">
        <is>
          <t>Replica count &lt;= node count?</t>
        </is>
      </c>
      <c r="B5" s="13">
        <f>IF(Inputs!B5&gt;Inputs!B3,"FAIL","OK")</f>
        <v/>
      </c>
      <c r="C5" s="13">
        <f>IF(Inputs!B5&gt;Inputs!B3,"R="&amp;Inputs!B5&amp;" &gt; N="&amp;Inputs!B3&amp;" — anti-affinity impossible","")</f>
        <v/>
      </c>
    </row>
    <row r="6">
      <c r="A6" s="3" t="inlineStr">
        <is>
          <t>Over-provisioning safe for disk type?</t>
        </is>
      </c>
      <c r="B6" s="13">
        <f>IF(AND(Inputs!B9="root",Inputs!B11&gt;200),"WARN","OK")</f>
        <v/>
      </c>
      <c r="C6" s="13">
        <f>IF(AND(Inputs!B9="root",Inputs!B11&gt;200),"Over-provisioning "&amp;Inputs!B11&amp;"% on root disk is dangerous","")</f>
        <v/>
      </c>
    </row>
    <row r="7">
      <c r="A7" s="3" t="inlineStr">
        <is>
          <t>V2: Kernel version reminder</t>
        </is>
      </c>
      <c r="B7" s="13">
        <f>IF(Inputs!B8="V2","CHECK","N/A")</f>
        <v/>
      </c>
      <c r="C7" s="13">
        <f>IF(Inputs!B8="V2","Ensure kernel &gt;= 5.19 (min) and &gt;= 6.7 (recommended for SPDK stability)","")</f>
        <v/>
      </c>
    </row>
    <row r="8">
      <c r="A8" s="3" t="inlineStr">
        <is>
          <t>V2: Block device reminder</t>
        </is>
      </c>
      <c r="B8" s="13">
        <f>IF(Inputs!B8="V2","CHECK","N/A")</f>
        <v/>
      </c>
      <c r="C8" s="13">
        <f>IF(Inputs!B8="V2","V2 requires block-type disks (not directory/filesystem)","")</f>
        <v/>
      </c>
    </row>
  </sheetData>
  <mergeCells count="1">
    <mergeCell ref="A1:C1"/>
  </mergeCells>
  <conditionalFormatting sqref="B3">
    <cfRule type="cellIs" priority="1" operator="equal" dxfId="0">
      <formula>"FAIL"</formula>
    </cfRule>
    <cfRule type="cellIs" priority="2" operator="equal" dxfId="1">
      <formula>"WARN"</formula>
    </cfRule>
    <cfRule type="cellIs" priority="3" operator="equal" dxfId="2">
      <formula>"OK"</formula>
    </cfRule>
  </conditionalFormatting>
  <conditionalFormatting sqref="B4">
    <cfRule type="cellIs" priority="4" operator="equal" dxfId="0">
      <formula>"FAIL"</formula>
    </cfRule>
    <cfRule type="cellIs" priority="5" operator="equal" dxfId="1">
      <formula>"WARN"</formula>
    </cfRule>
    <cfRule type="cellIs" priority="6" operator="equal" dxfId="2">
      <formula>"OK"</formula>
    </cfRule>
  </conditionalFormatting>
  <conditionalFormatting sqref="B5">
    <cfRule type="cellIs" priority="7" operator="equal" dxfId="0">
      <formula>"FAIL"</formula>
    </cfRule>
    <cfRule type="cellIs" priority="8" operator="equal" dxfId="1">
      <formula>"WARN"</formula>
    </cfRule>
    <cfRule type="cellIs" priority="9" operator="equal" dxfId="2">
      <formula>"OK"</formula>
    </cfRule>
  </conditionalFormatting>
  <conditionalFormatting sqref="B6">
    <cfRule type="cellIs" priority="10" operator="equal" dxfId="0">
      <formula>"FAIL"</formula>
    </cfRule>
    <cfRule type="cellIs" priority="11" operator="equal" dxfId="1">
      <formula>"WARN"</formula>
    </cfRule>
    <cfRule type="cellIs" priority="12" operator="equal" dxfId="2">
      <formula>"OK"</formula>
    </cfRule>
  </conditionalFormatting>
  <conditionalFormatting sqref="B7">
    <cfRule type="cellIs" priority="13" operator="equal" dxfId="0">
      <formula>"FAIL"</formula>
    </cfRule>
    <cfRule type="cellIs" priority="14" operator="equal" dxfId="1">
      <formula>"WARN"</formula>
    </cfRule>
    <cfRule type="cellIs" priority="15" operator="equal" dxfId="2">
      <formula>"OK"</formula>
    </cfRule>
  </conditionalFormatting>
  <conditionalFormatting sqref="B8">
    <cfRule type="cellIs" priority="16" operator="equal" dxfId="0">
      <formula>"FAIL"</formula>
    </cfRule>
    <cfRule type="cellIs" priority="17" operator="equal" dxfId="1">
      <formula>"WARN"</formula>
    </cfRule>
    <cfRule type="cellIs" priority="18" operator="equal" dxfId="2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Replica Rebuild Time Estimates</t>
        </is>
      </c>
    </row>
    <row r="3">
      <c r="A3" s="16" t="inlineStr">
        <is>
          <t>Average volume size (GiB):</t>
        </is>
      </c>
      <c r="B3" s="7">
        <f>Inputs!B7</f>
        <v/>
      </c>
    </row>
    <row r="5">
      <c r="A5" s="2" t="inlineStr">
        <is>
          <t>Network bandwidth</t>
        </is>
      </c>
      <c r="B5" s="2" t="inlineStr">
        <is>
          <t>Throughput (MiB/s)</t>
        </is>
      </c>
      <c r="C5" s="2" t="inlineStr">
        <is>
          <t>Rebuild time (min)</t>
        </is>
      </c>
      <c r="D5" s="2" t="inlineStr">
        <is>
          <t>Rebuild time (readable)</t>
        </is>
      </c>
    </row>
    <row r="6">
      <c r="A6" s="3" t="inlineStr">
        <is>
          <t>1 Gbps</t>
        </is>
      </c>
      <c r="B6" s="17" t="n">
        <v>128</v>
      </c>
      <c r="C6" s="7">
        <f>($B$3*1024)/B6/60</f>
        <v/>
      </c>
      <c r="D6" s="13">
        <f>IF(C6&gt;=60,TEXT(INT(C6/60),"0")&amp;" hr "&amp;TEXT(MOD(C6,60),"0")&amp;" min",TEXT(C6,"0.0")&amp;" min")</f>
        <v/>
      </c>
    </row>
    <row r="7">
      <c r="A7" s="3" t="inlineStr">
        <is>
          <t>10 Gbps</t>
        </is>
      </c>
      <c r="B7" s="17" t="n">
        <v>1280</v>
      </c>
      <c r="C7" s="7">
        <f>($B$3*1024)/B7/60</f>
        <v/>
      </c>
      <c r="D7" s="13">
        <f>IF(C7&gt;=60,TEXT(INT(C7/60),"0")&amp;" hr "&amp;TEXT(MOD(C7,60),"0")&amp;" min",TEXT(C7,"0.0")&amp;" min")</f>
        <v/>
      </c>
    </row>
    <row r="8">
      <c r="A8" s="3" t="inlineStr">
        <is>
          <t>25 Gbps</t>
        </is>
      </c>
      <c r="B8" s="17" t="n">
        <v>3200</v>
      </c>
      <c r="C8" s="7">
        <f>($B$3*1024)/B8/60</f>
        <v/>
      </c>
      <c r="D8" s="13">
        <f>IF(C8&gt;=60,TEXT(INT(C8/60),"0")&amp;" hr "&amp;TEXT(MOD(C8,60),"0")&amp;" min",TEXT(C8,"0.0")&amp;" min")</f>
        <v/>
      </c>
    </row>
    <row r="10">
      <c r="A10" s="10" t="inlineStr">
        <is>
          <t>Assumes single-stream sequential write during rebuild.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2026-03-27T13:29:12Z</dcterms:created>
  <dcterms:modified xmlns:dcterms="http://purl.org/dc/terms/" xmlns:xsi="http://www.w3.org/2001/XMLSchema-instance" xsi:type="dcterms:W3CDTF">2026-03-27T13:29:12Z</dcterms:modified>
</cp:coreProperties>
</file>